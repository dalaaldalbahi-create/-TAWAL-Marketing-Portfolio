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>
    <definedName name="_xlnm._FilterDatabase" localSheetId="0" hidden="1">'Dashboard'!$A$9:$M$13</definedName>
    <definedName name="_xlnm.Print_Area" localSheetId="0">'Dashboard'!$A$1:$M$16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 mmm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7F6000"/>
      <sz val="10"/>
    </font>
    <font>
      <name val="Calibri"/>
      <i val="1"/>
      <color rgb="00536575"/>
      <sz val="9"/>
    </font>
    <font>
      <name val="Calibri"/>
      <b val="1"/>
      <color rgb="00FFFFFF"/>
      <sz val="10"/>
    </font>
    <font>
      <name val="Calibri"/>
      <b val="1"/>
      <color rgb="0016324F"/>
      <sz val="13"/>
    </font>
    <font>
      <name val="Calibri"/>
      <b val="1"/>
      <color rgb="00FFFFFF"/>
      <sz val="9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color rgb="0016324F"/>
    </font>
  </fonts>
  <fills count="7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  <fill>
      <patternFill patternType="solid">
        <fgColor rgb="001F7A8C"/>
      </patternFill>
    </fill>
    <fill>
      <patternFill patternType="solid">
        <fgColor rgb="00EAF2F5"/>
      </patternFill>
    </fill>
    <fill>
      <patternFill patternType="solid">
        <fgColor rgb="00F3F6F8"/>
      </patternFill>
    </fill>
  </fills>
  <borders count="3">
    <border>
      <left/>
      <right/>
      <top/>
      <bottom/>
      <diagonal/>
    </border>
    <border>
      <bottom style="thin">
        <color rgb="00D7E1E8"/>
      </bottom>
    </border>
    <border>
      <top style="thin">
        <color rgb="001F7A8C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5" borderId="2" pivotButton="0" quotePrefix="0" xfId="0"/>
    <xf numFmtId="164" fontId="9" fillId="5" borderId="2" pivotButton="0" quotePrefix="0" xfId="0"/>
    <xf numFmtId="0" fontId="3" fillId="0" borderId="0" applyAlignment="1" pivotButton="0" quotePrefix="0" xfId="0">
      <alignment vertical="top" wrapText="1"/>
    </xf>
    <xf numFmtId="165" fontId="7" fillId="0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7A8C"/>
    <outlinePr summaryBelow="1" summaryRight="1"/>
    <pageSetUpPr fitToPage="1"/>
  </sheetPr>
  <dimension ref="A1:M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2" customWidth="1" min="4" max="4"/>
    <col width="12" customWidth="1" min="5" max="5"/>
    <col width="11" customWidth="1" min="6" max="6"/>
    <col width="13" customWidth="1" min="7" max="7"/>
    <col width="14" customWidth="1" min="8" max="8"/>
    <col width="17" customWidth="1" min="9" max="9"/>
    <col width="19" customWidth="1" min="10" max="10"/>
    <col width="17" customWidth="1" min="11" max="11"/>
    <col width="17" customWidth="1" min="12" max="12"/>
    <col width="12" customWidth="1" min="13" max="13"/>
  </cols>
  <sheetData>
    <row r="1" ht="30" customHeight="1">
      <c r="A1" s="1" t="inlineStr">
        <is>
          <t>TAWAL | Simple KPI Dashboard</t>
        </is>
      </c>
    </row>
    <row r="2" ht="28" customHeight="1">
      <c r="A2" s="2" t="inlineStr">
        <is>
          <t>Sample / Hypothetical Data — Not TAWAL Results</t>
        </is>
      </c>
    </row>
    <row r="3" ht="30" customHeight="1">
      <c r="A3" s="3" t="inlineStr">
        <is>
          <t>Replace inputs with approved analytics before use. Engagement rate = (reactions + comments + shares) ÷ impressions. Link CTR = link clicks ÷ impressions.</t>
        </is>
      </c>
    </row>
    <row r="5" ht="38" customHeight="1">
      <c r="A5" s="4" t="inlineStr">
        <is>
          <t>Total impressions</t>
        </is>
      </c>
      <c r="B5" s="5">
        <f>SUM(C10:C13)</f>
        <v/>
      </c>
      <c r="D5" s="4" t="inlineStr">
        <is>
          <t>Total engagements</t>
        </is>
      </c>
      <c r="E5" s="5">
        <f>SUM(K10:K13)</f>
        <v/>
      </c>
      <c r="G5" s="4" t="inlineStr">
        <is>
          <t>Average engagement rate</t>
        </is>
      </c>
      <c r="H5" s="5">
        <f>IFERROR(AVERAGE(L10:L13),0)</f>
        <v/>
      </c>
      <c r="J5" s="4" t="inlineStr">
        <is>
          <t>Total link clicks</t>
        </is>
      </c>
      <c r="K5" s="5">
        <f>SUM(G10:G13)</f>
        <v/>
      </c>
    </row>
    <row r="6" ht="28" customHeight="1">
      <c r="H6" s="6" t="n"/>
    </row>
    <row r="7" ht="38" customHeight="1">
      <c r="A7" s="4" t="inlineStr">
        <is>
          <t>Website sessions (sample)</t>
        </is>
      </c>
      <c r="B7" s="5">
        <f>SUM(I10:I13)</f>
        <v/>
      </c>
      <c r="D7" s="4" t="inlineStr">
        <is>
          <t>Qualified inquiries (sample)</t>
        </is>
      </c>
      <c r="E7" s="5">
        <f>SUM(J10:J13)</f>
        <v/>
      </c>
    </row>
    <row r="8" ht="28" customHeight="1"/>
    <row r="9" ht="34" customHeight="1">
      <c r="A9" s="7" t="inlineStr">
        <is>
          <t>Week</t>
        </is>
      </c>
      <c r="B9" s="7" t="inlineStr">
        <is>
          <t>Post date</t>
        </is>
      </c>
      <c r="C9" s="7" t="inlineStr">
        <is>
          <t>Impressions</t>
        </is>
      </c>
      <c r="D9" s="7" t="inlineStr">
        <is>
          <t>Reactions</t>
        </is>
      </c>
      <c r="E9" s="7" t="inlineStr">
        <is>
          <t>Comments</t>
        </is>
      </c>
      <c r="F9" s="7" t="inlineStr">
        <is>
          <t>Shares</t>
        </is>
      </c>
      <c r="G9" s="7" t="inlineStr">
        <is>
          <t>Link clicks</t>
        </is>
      </c>
      <c r="H9" s="7" t="inlineStr">
        <is>
          <t>New followers</t>
        </is>
      </c>
      <c r="I9" s="7" t="inlineStr">
        <is>
          <t>Website sessions</t>
        </is>
      </c>
      <c r="J9" s="7" t="inlineStr">
        <is>
          <t>Qualified inquiries</t>
        </is>
      </c>
      <c r="K9" s="7" t="inlineStr">
        <is>
          <t>Total engagements</t>
        </is>
      </c>
      <c r="L9" s="7" t="inlineStr">
        <is>
          <t>Engagement rate</t>
        </is>
      </c>
      <c r="M9" s="7" t="inlineStr">
        <is>
          <t>Link CTR</t>
        </is>
      </c>
    </row>
    <row r="10" ht="24" customHeight="1">
      <c r="A10" s="8" t="inlineStr">
        <is>
          <t>Week 1</t>
        </is>
      </c>
      <c r="B10" s="19" t="n">
        <v>46329</v>
      </c>
      <c r="C10" s="10" t="n">
        <v>1450</v>
      </c>
      <c r="D10" s="10" t="n">
        <v>38</v>
      </c>
      <c r="E10" s="10" t="n">
        <v>4</v>
      </c>
      <c r="F10" s="10" t="n">
        <v>6</v>
      </c>
      <c r="G10" s="10" t="n">
        <v>23</v>
      </c>
      <c r="H10" s="10" t="n">
        <v>5</v>
      </c>
      <c r="I10" s="10" t="n">
        <v>18</v>
      </c>
      <c r="J10" s="10" t="n">
        <v>0</v>
      </c>
      <c r="K10" s="11">
        <f>SUM(D10:F10)</f>
        <v/>
      </c>
      <c r="L10" s="12">
        <f>IFERROR(K10/C10,0)</f>
        <v/>
      </c>
      <c r="M10" s="12">
        <f>IFERROR(G10/C10,0)</f>
        <v/>
      </c>
    </row>
    <row r="11" ht="24" customHeight="1">
      <c r="A11" s="13" t="inlineStr">
        <is>
          <t>Week 2</t>
        </is>
      </c>
      <c r="B11" s="20" t="n">
        <v>46336</v>
      </c>
      <c r="C11" s="15" t="n">
        <v>1730</v>
      </c>
      <c r="D11" s="15" t="n">
        <v>45</v>
      </c>
      <c r="E11" s="15" t="n">
        <v>6</v>
      </c>
      <c r="F11" s="15" t="n">
        <v>9</v>
      </c>
      <c r="G11" s="15" t="n">
        <v>35</v>
      </c>
      <c r="H11" s="15" t="n">
        <v>6</v>
      </c>
      <c r="I11" s="15" t="n">
        <v>27</v>
      </c>
      <c r="J11" s="15" t="n">
        <v>1</v>
      </c>
      <c r="K11" s="11">
        <f>SUM(D11:F11)</f>
        <v/>
      </c>
      <c r="L11" s="12">
        <f>IFERROR(K11/C11,0)</f>
        <v/>
      </c>
      <c r="M11" s="12">
        <f>IFERROR(G11/C11,0)</f>
        <v/>
      </c>
    </row>
    <row r="12" ht="24" customHeight="1">
      <c r="A12" s="8" t="inlineStr">
        <is>
          <t>Week 3</t>
        </is>
      </c>
      <c r="B12" s="19" t="n">
        <v>46343</v>
      </c>
      <c r="C12" s="10" t="n">
        <v>1610</v>
      </c>
      <c r="D12" s="10" t="n">
        <v>41</v>
      </c>
      <c r="E12" s="10" t="n">
        <v>5</v>
      </c>
      <c r="F12" s="10" t="n">
        <v>7</v>
      </c>
      <c r="G12" s="10" t="n">
        <v>29</v>
      </c>
      <c r="H12" s="10" t="n">
        <v>4</v>
      </c>
      <c r="I12" s="10" t="n">
        <v>22</v>
      </c>
      <c r="J12" s="10" t="n">
        <v>1</v>
      </c>
      <c r="K12" s="11">
        <f>SUM(D12:F12)</f>
        <v/>
      </c>
      <c r="L12" s="12">
        <f>IFERROR(K12/C12,0)</f>
        <v/>
      </c>
      <c r="M12" s="12">
        <f>IFERROR(G12/C12,0)</f>
        <v/>
      </c>
    </row>
    <row r="13" ht="24" customHeight="1">
      <c r="A13" s="13" t="inlineStr">
        <is>
          <t>Week 4</t>
        </is>
      </c>
      <c r="B13" s="20" t="n">
        <v>46350</v>
      </c>
      <c r="C13" s="15" t="n">
        <v>1920</v>
      </c>
      <c r="D13" s="15" t="n">
        <v>53</v>
      </c>
      <c r="E13" s="15" t="n">
        <v>8</v>
      </c>
      <c r="F13" s="15" t="n">
        <v>11</v>
      </c>
      <c r="G13" s="15" t="n">
        <v>46</v>
      </c>
      <c r="H13" s="15" t="n">
        <v>7</v>
      </c>
      <c r="I13" s="15" t="n">
        <v>36</v>
      </c>
      <c r="J13" s="15" t="n">
        <v>2</v>
      </c>
      <c r="K13" s="11">
        <f>SUM(D13:F13)</f>
        <v/>
      </c>
      <c r="L13" s="12">
        <f>IFERROR(K13/C13,0)</f>
        <v/>
      </c>
      <c r="M13" s="12">
        <f>IFERROR(G13/C13,0)</f>
        <v/>
      </c>
    </row>
    <row r="14">
      <c r="A14" s="16" t="inlineStr">
        <is>
          <t>Total / average</t>
        </is>
      </c>
      <c r="B14" s="16" t="n"/>
      <c r="C14" s="16">
        <f>SUM(C10:C13)</f>
        <v/>
      </c>
      <c r="D14" s="16">
        <f>SUM(D10:D13)</f>
        <v/>
      </c>
      <c r="E14" s="16">
        <f>SUM(E10:E13)</f>
        <v/>
      </c>
      <c r="F14" s="16">
        <f>SUM(F10:F13)</f>
        <v/>
      </c>
      <c r="G14" s="16">
        <f>SUM(G10:G13)</f>
        <v/>
      </c>
      <c r="H14" s="16">
        <f>SUM(H10:H13)</f>
        <v/>
      </c>
      <c r="I14" s="16">
        <f>SUM(I10:I13)</f>
        <v/>
      </c>
      <c r="J14" s="16">
        <f>SUM(J10:J13)</f>
        <v/>
      </c>
      <c r="K14" s="16">
        <f>SUM(K10:K13)</f>
        <v/>
      </c>
      <c r="L14" s="17">
        <f>IFERROR(K14/C14,0)</f>
        <v/>
      </c>
      <c r="M14" s="17">
        <f>IFERROR(G14/C14,0)</f>
        <v/>
      </c>
    </row>
    <row r="16" ht="32" customHeight="1">
      <c r="A16" s="18" t="inlineStr">
        <is>
          <t>Interpretation: use the figures to practise reading basic metrics only. Website sessions and inquiries are sample-only too; real attribution depends on analytics access and a consistent definition.</t>
        </is>
      </c>
    </row>
  </sheetData>
  <autoFilter ref="A9:M13"/>
  <mergeCells count="4">
    <mergeCell ref="A3:M3"/>
    <mergeCell ref="A2:M2"/>
    <mergeCell ref="A16:M16"/>
    <mergeCell ref="A1:M1"/>
  </mergeCells>
  <pageMargins left="0.2" right="0.2" top="0.4" bottom="0.4" header="0.2" footer="0.2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2026-10-04T22:02:14Z</dcterms:created>
  <dcterms:modified xmlns:dcterms="http://purl.org/dc/terms/" xmlns:xsi="http://www.w3.org/2001/XMLSchema-instance" xsi:type="dcterms:W3CDTF">2026-10-04T22:18:16Z</dcterms:modified>
</cp:coreProperties>
</file>